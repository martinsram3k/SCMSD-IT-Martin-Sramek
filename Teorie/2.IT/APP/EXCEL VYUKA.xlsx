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msd-my.sharepoint.com/personal/it-martinsramek_stredniskola_com/Documents/Plocha/SCMSD-IT-Martin-Sramek/Teorie/2.IT/APP/"/>
    </mc:Choice>
  </mc:AlternateContent>
  <xr:revisionPtr revIDLastSave="87" documentId="13_ncr:1_{1729EE0C-8A18-49C4-BC2B-6A1568E49C24}" xr6:coauthVersionLast="47" xr6:coauthVersionMax="47" xr10:uidLastSave="{1D804E9D-1EE4-489B-878B-84BC6933EA00}"/>
  <bookViews>
    <workbookView xWindow="-120" yWindow="-120" windowWidth="29040" windowHeight="15720" activeTab="2" xr2:uid="{00000000-000D-0000-FFFF-FFFF00000000}"/>
  </bookViews>
  <sheets>
    <sheet name="Úvod" sheetId="1" r:id="rId1"/>
    <sheet name="prostředí" sheetId="4" r:id="rId2"/>
    <sheet name="vzorce" sheetId="5" r:id="rId3"/>
    <sheet name="Řady" sheetId="2" r:id="rId4"/>
    <sheet name="Formát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5" l="1"/>
  <c r="G33" i="5"/>
  <c r="G34" i="5"/>
  <c r="G31" i="5"/>
  <c r="F32" i="5"/>
  <c r="F33" i="5"/>
  <c r="F34" i="5"/>
  <c r="F31" i="5"/>
  <c r="E31" i="5"/>
  <c r="E32" i="5"/>
  <c r="E33" i="5"/>
  <c r="E34" i="5"/>
  <c r="F25" i="5"/>
  <c r="F26" i="5"/>
  <c r="F27" i="5"/>
  <c r="F28" i="5"/>
  <c r="D25" i="5"/>
  <c r="D26" i="5"/>
  <c r="D27" i="5"/>
  <c r="D28" i="5"/>
  <c r="F24" i="5"/>
  <c r="D24" i="5"/>
  <c r="E20" i="5"/>
  <c r="D20" i="5"/>
  <c r="D15" i="5"/>
  <c r="D14" i="5"/>
  <c r="D13" i="5"/>
  <c r="E12" i="5"/>
  <c r="D12" i="5"/>
</calcChain>
</file>

<file path=xl/sharedStrings.xml><?xml version="1.0" encoding="utf-8"?>
<sst xmlns="http://schemas.openxmlformats.org/spreadsheetml/2006/main" count="96" uniqueCount="74">
  <si>
    <t>Výuka Aplikačního programu MS Excel</t>
  </si>
  <si>
    <t>Řady</t>
  </si>
  <si>
    <t>A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</si>
  <si>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</si>
  <si>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</si>
  <si>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</si>
  <si>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</si>
  <si>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</si>
  <si>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</si>
  <si>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</si>
  <si>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</si>
  <si>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</si>
  <si>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Pondělí</t>
  </si>
  <si>
    <t>Úterý</t>
  </si>
  <si>
    <t>Středa</t>
  </si>
  <si>
    <t>Čtvrtek</t>
  </si>
  <si>
    <t>Pátek</t>
  </si>
  <si>
    <t>Sobota</t>
  </si>
  <si>
    <t>Neděle</t>
  </si>
  <si>
    <t>St</t>
  </si>
  <si>
    <t>Čt</t>
  </si>
  <si>
    <t>Pá</t>
  </si>
  <si>
    <t>So</t>
  </si>
  <si>
    <t>Ne</t>
  </si>
  <si>
    <t>Po</t>
  </si>
  <si>
    <t>Út</t>
  </si>
  <si>
    <t>Úpravy hodnot v buňkách</t>
  </si>
  <si>
    <t>Škola</t>
  </si>
  <si>
    <t>Střední škola</t>
  </si>
  <si>
    <t>vzorce</t>
  </si>
  <si>
    <t>Pravidla pro tvorbu vzorce</t>
  </si>
  <si>
    <t>1.</t>
  </si>
  <si>
    <t>Kurzor kde bude výsledek</t>
  </si>
  <si>
    <t>2.</t>
  </si>
  <si>
    <t xml:space="preserve">Začneme = </t>
  </si>
  <si>
    <t>3.</t>
  </si>
  <si>
    <t>4.</t>
  </si>
  <si>
    <t>5.</t>
  </si>
  <si>
    <t>Místo hodnot zadávám adresu bunky</t>
  </si>
  <si>
    <t>Používám metamtiká znaménka -+/* (: slouží pro označení oblasti A12:B15)</t>
  </si>
  <si>
    <t>končí se ENTER</t>
  </si>
  <si>
    <t xml:space="preserve">číslo A </t>
  </si>
  <si>
    <t>číslo B</t>
  </si>
  <si>
    <t xml:space="preserve">Součet </t>
  </si>
  <si>
    <t>Rozdíl</t>
  </si>
  <si>
    <t>Součin</t>
  </si>
  <si>
    <t>Podíl</t>
  </si>
  <si>
    <t>Sleva</t>
  </si>
  <si>
    <t>Triko</t>
  </si>
  <si>
    <t>Cena</t>
  </si>
  <si>
    <t>Cena po sleve</t>
  </si>
  <si>
    <t>Modré</t>
  </si>
  <si>
    <t>Produkt</t>
  </si>
  <si>
    <t>Vyrobeno kusů
[ks]</t>
  </si>
  <si>
    <t>Jednotková cena
[Kč]</t>
  </si>
  <si>
    <t>Celková cena
[Kč]</t>
  </si>
  <si>
    <t>Doba výroby
[h]</t>
  </si>
  <si>
    <t>Hodinová výroba
[ks/h]</t>
  </si>
  <si>
    <t>lavice</t>
  </si>
  <si>
    <t>stul</t>
  </si>
  <si>
    <t>skrin</t>
  </si>
  <si>
    <t>police</t>
  </si>
  <si>
    <t>postel</t>
  </si>
  <si>
    <t>Počet zaku ve tride</t>
  </si>
  <si>
    <t>1.IT</t>
  </si>
  <si>
    <t>2.IT</t>
  </si>
  <si>
    <t>3.IT</t>
  </si>
  <si>
    <t>4.IT</t>
  </si>
  <si>
    <t>celkem</t>
  </si>
  <si>
    <t>chlapci</t>
  </si>
  <si>
    <t>dívky</t>
  </si>
  <si>
    <t>% chlapsi</t>
  </si>
  <si>
    <t>% dívky</t>
  </si>
  <si>
    <t>kontrola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</si>
</sst>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_-* #,##0.00\ [$€-1]_-;\-* #,##0.00\ [$€-1]_-;_-* &quot;-&quot;??\ [$€-1]_-;_-@_-"/>
    <numFmt numFmtId="165" formatCode="_-* #,##0\ [$Kč-405]_-;\-* #,##0\ [$Kč-405]_-;_-* &quot;-&quot;??\ [$Kč-405]_-;_-@_-"/>
    <numFmt numFmtId="166" formatCode="_-* #,##0_-;\-* #,##0_-;_-* &quot;-&quot;??_-;_-@_-"/>
    <numFmt numFmtId="167" formatCode="_-* #,##0\ &quot;Kč&quot;_-;\-* #,##0\ &quot;Kč&quot;_-;_-* &quot;-&quot;??\ &quot;Kč&quot;_-;_-@_-"/>
  </numFmts>
  <fonts count="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20"/>
      <color rgb="FF00B05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charset val="238"/>
      <scheme val="minor"/>
    </font>
    <font>
      <b/>
      <sz val="12"/>
      <color theme="0"/>
      <name val="Arial"/>
      <family val="2"/>
      <charset val="238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rgb="FFC00000"/>
        <bgColor indexed="64"/>
      </patternFill>
    </fill>
    <fill>
      <patternFill patternType="solid">
        <fgColor rgb="FFCC66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3" fillId="2" borderId="0" xfId="0" applyFont="1" applyFill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9" fontId="0" fillId="0" borderId="0" xfId="2" applyFont="1"/>
    <xf numFmtId="166" fontId="0" fillId="0" borderId="0" xfId="1" applyNumberFormat="1" applyFont="1"/>
    <xf numFmtId="0" fontId="0" fillId="3" borderId="0" xfId="0" applyFill="1"/>
    <xf numFmtId="0" fontId="0" fillId="0" borderId="0" xfId="0" applyAlignment="1">
      <alignment horizontal="right"/>
    </xf>
    <xf numFmtId="0" fontId="0" fillId="2" borderId="0" xfId="0" applyFill="1"/>
    <xf numFmtId="2" fontId="0" fillId="2" borderId="0" xfId="0" applyNumberFormat="1" applyFill="1"/>
    <xf numFmtId="9" fontId="0" fillId="0" borderId="0" xfId="0" applyNumberFormat="1"/>
    <xf numFmtId="167" fontId="0" fillId="0" borderId="0" xfId="3" applyNumberFormat="1" applyFont="1"/>
    <xf numFmtId="167" fontId="0" fillId="2" borderId="0" xfId="0" applyNumberFormat="1" applyFill="1"/>
    <xf numFmtId="0" fontId="6" fillId="5" borderId="0" xfId="4" applyFont="1" applyFill="1" applyAlignment="1">
      <alignment vertical="center" wrapText="1"/>
    </xf>
    <xf numFmtId="0" fontId="6" fillId="5" borderId="0" xfId="4" applyFont="1" applyFill="1" applyAlignment="1">
      <alignment horizontal="right" vertical="center" wrapText="1"/>
    </xf>
    <xf numFmtId="0" fontId="6" fillId="6" borderId="0" xfId="4" applyFont="1" applyFill="1" applyAlignment="1">
      <alignment horizontal="right" vertical="center" wrapText="1"/>
    </xf>
    <xf numFmtId="0" fontId="7" fillId="0" borderId="1" xfId="0" applyFont="1" applyBorder="1"/>
    <xf numFmtId="4" fontId="7" fillId="0" borderId="1" xfId="0" applyNumberFormat="1" applyFont="1" applyBorder="1"/>
    <xf numFmtId="4" fontId="7" fillId="2" borderId="1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 applyFill="1" applyBorder="1"/>
    <xf numFmtId="3" fontId="7" fillId="0" borderId="0" xfId="0" applyNumberFormat="1" applyFont="1" applyFill="1" applyBorder="1"/>
    <xf numFmtId="9" fontId="0" fillId="2" borderId="0" xfId="2" applyFont="1" applyFill="1"/>
    <xf numFmtId="9" fontId="0" fillId="2" borderId="0" xfId="0" applyNumberFormat="1" applyFill="1"/>
  </cellXfs>
  <cellStyles count="5">
    <cellStyle name="Čárka" xfId="1" builtinId="3"/>
    <cellStyle name="Měna" xfId="3" builtinId="4"/>
    <cellStyle name="Normální" xfId="0" builtinId="0"/>
    <cellStyle name="Procenta" xfId="2" builtinId="5"/>
    <cellStyle name="Zvýraznění 1" xfId="4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35943</xdr:colOff>
      <xdr:row>5</xdr:row>
      <xdr:rowOff>25160</xdr:rowOff>
    </xdr:from>
    <xdr:to>
      <xdr:col>6</xdr:col>
      <xdr:colOff>304800</xdr:colOff>
      <xdr:row>16</xdr:row>
      <xdr:rowOff>129397</xdr:rowOff>
    </xdr:to>
    <xdr:sp macro="" textlink="">
      <xdr:nvSpPr>
        <xdr:cNvPr id="2" name="TextovéPole 1">
          <a:extLst>
            <a:ext uri="{FF2B5EF4-FFF2-40B4-BE49-F238E27FC236}">
              <a16:creationId xmlns:a16="http://schemas.microsoft.com/office/drawing/2014/main" id="{547595C9-FEF1-848B-E121-1E6ADB3698F1}"/>
            </a:ext>
          </a:extLst>
        </xdr:cNvPr>
        <xdr:cNvSpPr txBox="1"/>
      </xdr:nvSpPr>
      <xdr:spPr>
        <a:xfrm>
          <a:off x="35943" y="902179"/>
          <a:ext cx="4288766" cy="20336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MS Excel je kalkulátor.</a:t>
          </a:r>
        </a:p>
        <a:p>
          <a:r>
            <a:rPr lang="cs-CZ" sz="1100"/>
            <a:t>Používá</a:t>
          </a:r>
          <a:r>
            <a:rPr lang="cs-CZ" sz="1100" baseline="0"/>
            <a:t> se nejen při kancelářské práci, ale i při práci s databázemi. především při importech a exportech dat do databáze.</a:t>
          </a:r>
        </a:p>
        <a:p>
          <a:endParaRPr lang="cs-CZ" sz="1100" baseline="0"/>
        </a:p>
        <a:p>
          <a:r>
            <a:rPr lang="cs-CZ" sz="1100"/>
            <a:t>Prostředí v</a:t>
          </a:r>
          <a:r>
            <a:rPr lang="cs-CZ" sz="1100" baseline="0"/>
            <a:t> Excelu je velmi podobné Wordu. Zustává pás karet a na něm skupiny nástrojů. </a:t>
          </a:r>
        </a:p>
        <a:p>
          <a:r>
            <a:rPr lang="cs-CZ" sz="1100" baseline="0"/>
            <a:t>Hlavní rozdíl je v pracovní ploše, která je rozdělená do buněk. Buňky vytváří rozsáhlou síť a každá a svou adresu např. A10 C5 E8. Pro rozmezí neboli pro oblast buněk se používá zapis s dvojtečkou</a:t>
          </a:r>
          <a:endParaRPr lang="cs-CZ" sz="1100"/>
        </a:p>
      </xdr:txBody>
    </xdr:sp>
    <xdr:clientData/>
  </xdr:twoCellAnchor>
  <xdr:twoCellAnchor editAs="oneCell">
    <xdr:from>
      <xdr:col>0</xdr:col>
      <xdr:colOff>34506</xdr:colOff>
      <xdr:row>17</xdr:row>
      <xdr:rowOff>49297</xdr:rowOff>
    </xdr:from>
    <xdr:to>
      <xdr:col>6</xdr:col>
      <xdr:colOff>349509</xdr:colOff>
      <xdr:row>32</xdr:row>
      <xdr:rowOff>102519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06" y="3031161"/>
          <a:ext cx="4334912" cy="2684279"/>
        </a:xfrm>
        <a:prstGeom prst="rect">
          <a:avLst/>
        </a:prstGeom>
      </xdr:spPr>
    </xdr:pic>
    <xdr:clientData/>
  </xdr:twoCellAnchor>
  <xdr:twoCellAnchor>
    <xdr:from>
      <xdr:col>0</xdr:col>
      <xdr:colOff>35943</xdr:colOff>
      <xdr:row>33</xdr:row>
      <xdr:rowOff>39538</xdr:rowOff>
    </xdr:from>
    <xdr:to>
      <xdr:col>4</xdr:col>
      <xdr:colOff>283953</xdr:colOff>
      <xdr:row>38</xdr:row>
      <xdr:rowOff>25159</xdr:rowOff>
    </xdr:to>
    <xdr:sp macro="" textlink="">
      <xdr:nvSpPr>
        <xdr:cNvPr id="4" name="TextovéPole 3">
          <a:extLst>
            <a:ext uri="{FF2B5EF4-FFF2-40B4-BE49-F238E27FC236}">
              <a16:creationId xmlns:a16="http://schemas.microsoft.com/office/drawing/2014/main" id="{7F417829-3EB4-F63D-0A57-4479B5B69E30}"/>
            </a:ext>
          </a:extLst>
        </xdr:cNvPr>
        <xdr:cNvSpPr txBox="1"/>
      </xdr:nvSpPr>
      <xdr:spPr>
        <a:xfrm>
          <a:off x="35943" y="6326038"/>
          <a:ext cx="2692161" cy="938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Výpočty v MS EXCEL</a:t>
          </a:r>
          <a:r>
            <a:rPr lang="cs-CZ" sz="1100" baseline="0"/>
            <a:t> se provádí 2 základními zpusoby </a:t>
          </a:r>
        </a:p>
        <a:p>
          <a:r>
            <a:rPr lang="cs-CZ" sz="1100"/>
            <a:t>1. Vzorec</a:t>
          </a:r>
          <a:r>
            <a:rPr lang="cs-CZ" sz="1100" baseline="0"/>
            <a:t> - Tvoří uživatel sám (já) </a:t>
          </a:r>
          <a:endParaRPr lang="cs-CZ" sz="1100"/>
        </a:p>
        <a:p>
          <a:r>
            <a:rPr lang="cs-CZ" sz="1100"/>
            <a:t>2. Funkce - Je</a:t>
          </a:r>
          <a:r>
            <a:rPr lang="cs-CZ" sz="1100" baseline="0"/>
            <a:t> před připravena v programu, od uživatele očekáva zdrojová data</a:t>
          </a:r>
          <a:endParaRPr lang="cs-CZ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8" zoomScale="265" zoomScaleNormal="265" workbookViewId="0">
      <selection activeCell="F34" sqref="F34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639B-9196-4845-8CF0-7C8D7612FC99}">
  <dimension ref="A1"/>
  <sheetViews>
    <sheetView workbookViewId="0">
      <selection activeCell="J32" sqref="J32"/>
    </sheetView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344D-F593-4747-A596-AAC97A0DBF9B}">
  <dimension ref="A1:G34"/>
  <sheetViews>
    <sheetView tabSelected="1" topLeftCell="A21" zoomScale="205" zoomScaleNormal="205" workbookViewId="0">
      <selection activeCell="G29" sqref="G29"/>
    </sheetView>
  </sheetViews>
  <sheetFormatPr defaultRowHeight="15" x14ac:dyDescent="0.25"/>
  <cols>
    <col min="1" max="1" width="21.5703125" customWidth="1"/>
    <col min="2" max="2" width="23.85546875" customWidth="1"/>
    <col min="3" max="3" width="29.42578125" customWidth="1"/>
    <col min="4" max="4" width="14.7109375" customWidth="1"/>
    <col min="5" max="5" width="13.140625" bestFit="1" customWidth="1"/>
    <col min="6" max="6" width="12.5703125" customWidth="1"/>
  </cols>
  <sheetData>
    <row r="1" spans="1:5" x14ac:dyDescent="0.25">
      <c r="A1" s="8" t="s">
        <v>29</v>
      </c>
    </row>
    <row r="3" spans="1:5" x14ac:dyDescent="0.25">
      <c r="A3" s="22" t="s">
        <v>30</v>
      </c>
      <c r="B3" s="22"/>
      <c r="C3" s="22"/>
    </row>
    <row r="4" spans="1:5" x14ac:dyDescent="0.25">
      <c r="A4" s="9" t="s">
        <v>31</v>
      </c>
      <c r="B4" s="21" t="s">
        <v>32</v>
      </c>
      <c r="C4" s="21"/>
    </row>
    <row r="5" spans="1:5" x14ac:dyDescent="0.25">
      <c r="A5" s="9" t="s">
        <v>33</v>
      </c>
      <c r="B5" s="21" t="s">
        <v>34</v>
      </c>
      <c r="C5" s="21"/>
    </row>
    <row r="6" spans="1:5" x14ac:dyDescent="0.25">
      <c r="A6" s="9" t="s">
        <v>35</v>
      </c>
      <c r="B6" s="21" t="s">
        <v>38</v>
      </c>
      <c r="C6" s="21"/>
    </row>
    <row r="7" spans="1:5" x14ac:dyDescent="0.25">
      <c r="A7" s="9" t="s">
        <v>36</v>
      </c>
      <c r="B7" s="21" t="s">
        <v>39</v>
      </c>
      <c r="C7" s="21"/>
    </row>
    <row r="8" spans="1:5" x14ac:dyDescent="0.25">
      <c r="A8" s="9" t="s">
        <v>37</v>
      </c>
      <c r="B8" s="21" t="s">
        <v>40</v>
      </c>
      <c r="C8" s="21"/>
    </row>
    <row r="12" spans="1:5" x14ac:dyDescent="0.25">
      <c r="A12" t="s">
        <v>41</v>
      </c>
      <c r="B12" t="s">
        <v>42</v>
      </c>
      <c r="C12" t="s">
        <v>43</v>
      </c>
      <c r="D12" s="10">
        <f>55+101</f>
        <v>156</v>
      </c>
      <c r="E12" s="10">
        <f>A13+B13</f>
        <v>67</v>
      </c>
    </row>
    <row r="13" spans="1:5" x14ac:dyDescent="0.25">
      <c r="A13">
        <v>55</v>
      </c>
      <c r="B13">
        <v>12</v>
      </c>
      <c r="C13" t="s">
        <v>44</v>
      </c>
      <c r="D13" s="10">
        <f>A13-B13</f>
        <v>43</v>
      </c>
    </row>
    <row r="14" spans="1:5" x14ac:dyDescent="0.25">
      <c r="C14" t="s">
        <v>45</v>
      </c>
      <c r="D14" s="10">
        <f>A13*B13</f>
        <v>660</v>
      </c>
    </row>
    <row r="15" spans="1:5" x14ac:dyDescent="0.25">
      <c r="C15" t="s">
        <v>46</v>
      </c>
      <c r="D15" s="11">
        <f>A13/B13</f>
        <v>4.583333333333333</v>
      </c>
    </row>
    <row r="18" spans="1:7" x14ac:dyDescent="0.25">
      <c r="B18" t="s">
        <v>47</v>
      </c>
      <c r="C18" s="12">
        <v>0.25</v>
      </c>
    </row>
    <row r="19" spans="1:7" x14ac:dyDescent="0.25">
      <c r="B19" t="s">
        <v>48</v>
      </c>
      <c r="C19" t="s">
        <v>49</v>
      </c>
      <c r="D19" t="s">
        <v>47</v>
      </c>
      <c r="E19" t="s">
        <v>50</v>
      </c>
    </row>
    <row r="20" spans="1:7" x14ac:dyDescent="0.25">
      <c r="B20" t="s">
        <v>51</v>
      </c>
      <c r="C20" s="13">
        <v>1000</v>
      </c>
      <c r="D20" s="14">
        <f>C20*C18</f>
        <v>250</v>
      </c>
      <c r="E20" s="14">
        <f>C20-D20</f>
        <v>750</v>
      </c>
    </row>
    <row r="23" spans="1:7" ht="47.25" x14ac:dyDescent="0.25">
      <c r="A23" s="15" t="s">
        <v>52</v>
      </c>
      <c r="B23" s="16" t="s">
        <v>53</v>
      </c>
      <c r="C23" s="16" t="s">
        <v>54</v>
      </c>
      <c r="D23" s="17" t="s">
        <v>55</v>
      </c>
      <c r="E23" s="16" t="s">
        <v>56</v>
      </c>
      <c r="F23" s="17" t="s">
        <v>57</v>
      </c>
    </row>
    <row r="24" spans="1:7" ht="15.75" x14ac:dyDescent="0.25">
      <c r="A24" s="18" t="s">
        <v>58</v>
      </c>
      <c r="B24" s="18">
        <v>22</v>
      </c>
      <c r="C24" s="19">
        <v>750</v>
      </c>
      <c r="D24" s="20">
        <f>B24*C24</f>
        <v>16500</v>
      </c>
      <c r="E24" s="19">
        <v>0.75</v>
      </c>
      <c r="F24" s="20">
        <f>1/E24</f>
        <v>1.3333333333333333</v>
      </c>
    </row>
    <row r="25" spans="1:7" ht="15.75" x14ac:dyDescent="0.25">
      <c r="A25" s="18" t="s">
        <v>59</v>
      </c>
      <c r="B25" s="18">
        <v>20</v>
      </c>
      <c r="C25" s="19">
        <v>900</v>
      </c>
      <c r="D25" s="20">
        <f t="shared" ref="D25:D28" si="0">B25*C25</f>
        <v>18000</v>
      </c>
      <c r="E25" s="19">
        <v>1.2</v>
      </c>
      <c r="F25" s="20">
        <f t="shared" ref="F25:F28" si="1">1/E25</f>
        <v>0.83333333333333337</v>
      </c>
    </row>
    <row r="26" spans="1:7" ht="15.75" x14ac:dyDescent="0.25">
      <c r="A26" s="18" t="s">
        <v>60</v>
      </c>
      <c r="B26" s="18">
        <v>8</v>
      </c>
      <c r="C26" s="19">
        <v>3800</v>
      </c>
      <c r="D26" s="20">
        <f t="shared" si="0"/>
        <v>30400</v>
      </c>
      <c r="E26" s="19">
        <v>4</v>
      </c>
      <c r="F26" s="20">
        <f t="shared" si="1"/>
        <v>0.25</v>
      </c>
    </row>
    <row r="27" spans="1:7" ht="15.75" x14ac:dyDescent="0.25">
      <c r="A27" s="18" t="s">
        <v>61</v>
      </c>
      <c r="B27" s="18">
        <v>18</v>
      </c>
      <c r="C27" s="19">
        <v>450</v>
      </c>
      <c r="D27" s="20">
        <f t="shared" si="0"/>
        <v>8100</v>
      </c>
      <c r="E27" s="19">
        <v>0.4</v>
      </c>
      <c r="F27" s="20">
        <f t="shared" si="1"/>
        <v>2.5</v>
      </c>
    </row>
    <row r="28" spans="1:7" ht="15.75" x14ac:dyDescent="0.25">
      <c r="A28" s="18" t="s">
        <v>62</v>
      </c>
      <c r="B28" s="18">
        <v>5</v>
      </c>
      <c r="C28" s="19">
        <v>2700</v>
      </c>
      <c r="D28" s="20">
        <f t="shared" si="0"/>
        <v>13500</v>
      </c>
      <c r="E28" s="19">
        <v>1.5</v>
      </c>
      <c r="F28" s="20">
        <f t="shared" si="1"/>
        <v>0.66666666666666663</v>
      </c>
    </row>
    <row r="29" spans="1:7" ht="15.75" x14ac:dyDescent="0.25">
      <c r="E29" s="19"/>
    </row>
    <row r="30" spans="1:7" ht="15.75" x14ac:dyDescent="0.25">
      <c r="A30" s="23" t="s">
        <v>63</v>
      </c>
      <c r="B30" t="s">
        <v>68</v>
      </c>
      <c r="C30" t="s">
        <v>69</v>
      </c>
      <c r="D30" t="s">
        <v>70</v>
      </c>
      <c r="E30" s="10" t="s">
        <v>71</v>
      </c>
      <c r="F30" s="10" t="s">
        <v>72</v>
      </c>
      <c r="G30" s="10" t="s">
        <v>73</v>
      </c>
    </row>
    <row r="31" spans="1:7" ht="15.75" x14ac:dyDescent="0.25">
      <c r="A31" s="23" t="s">
        <v>64</v>
      </c>
      <c r="B31" s="23">
        <v>19</v>
      </c>
      <c r="C31" s="24">
        <v>17</v>
      </c>
      <c r="D31">
        <v>2</v>
      </c>
      <c r="E31" s="25">
        <f>C31/B31</f>
        <v>0.89473684210526316</v>
      </c>
      <c r="F31" s="25">
        <f>D31/B31</f>
        <v>0.10526315789473684</v>
      </c>
      <c r="G31" s="26">
        <f>E31+F31</f>
        <v>1</v>
      </c>
    </row>
    <row r="32" spans="1:7" ht="15.75" x14ac:dyDescent="0.25">
      <c r="A32" s="23" t="s">
        <v>65</v>
      </c>
      <c r="B32" s="23">
        <v>23</v>
      </c>
      <c r="C32" s="24">
        <v>22</v>
      </c>
      <c r="D32">
        <v>1</v>
      </c>
      <c r="E32" s="25">
        <f t="shared" ref="E32:E34" si="2">C32/B32</f>
        <v>0.95652173913043481</v>
      </c>
      <c r="F32" s="25">
        <f t="shared" ref="F32:F34" si="3">D32/B32</f>
        <v>4.3478260869565216E-2</v>
      </c>
      <c r="G32" s="26">
        <f t="shared" ref="G32:G34" si="4">E32+F32</f>
        <v>1</v>
      </c>
    </row>
    <row r="33" spans="1:7" ht="15.75" x14ac:dyDescent="0.25">
      <c r="A33" s="23" t="s">
        <v>66</v>
      </c>
      <c r="B33" s="23">
        <v>19</v>
      </c>
      <c r="C33" s="24">
        <v>19</v>
      </c>
      <c r="D33">
        <v>0</v>
      </c>
      <c r="E33" s="25">
        <f t="shared" si="2"/>
        <v>1</v>
      </c>
      <c r="F33" s="25">
        <f t="shared" si="3"/>
        <v>0</v>
      </c>
      <c r="G33" s="26">
        <f t="shared" si="4"/>
        <v>1</v>
      </c>
    </row>
    <row r="34" spans="1:7" ht="15.75" x14ac:dyDescent="0.25">
      <c r="A34" s="23" t="s">
        <v>67</v>
      </c>
      <c r="B34" s="23">
        <v>19</v>
      </c>
      <c r="C34" s="24">
        <v>15</v>
      </c>
      <c r="D34">
        <v>4</v>
      </c>
      <c r="E34" s="25">
        <f t="shared" si="2"/>
        <v>0.78947368421052633</v>
      </c>
      <c r="F34" s="25">
        <f t="shared" si="3"/>
        <v>0.21052631578947367</v>
      </c>
      <c r="G34" s="26">
        <f t="shared" si="4"/>
        <v>1</v>
      </c>
    </row>
  </sheetData>
  <mergeCells count="6">
    <mergeCell ref="B8:C8"/>
    <mergeCell ref="A3:C3"/>
    <mergeCell ref="B4:C4"/>
    <mergeCell ref="B5:C5"/>
    <mergeCell ref="B6:C6"/>
    <mergeCell ref="B7:C7"/>
  </mergeCells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opLeftCell="A7" zoomScale="214" zoomScaleNormal="214" workbookViewId="0">
      <selection activeCell="J2" sqref="J2"/>
    </sheetView>
  </sheetViews>
  <sheetFormatPr defaultRowHeight="15" x14ac:dyDescent="0.25"/>
  <cols>
    <col min="8" max="8" width="10.42578125" bestFit="1" customWidth="1"/>
  </cols>
  <sheetData>
    <row r="1" spans="1:9" x14ac:dyDescent="0.25">
      <c r="A1" t="s">
        <v>1</v>
      </c>
    </row>
    <row r="2" spans="1:9" x14ac:dyDescent="0.25">
      <c r="A2">
        <v>1</v>
      </c>
      <c r="B2" t="s">
        <v>2</v>
      </c>
      <c r="C2">
        <v>1</v>
      </c>
      <c r="D2" t="s">
        <v>3</v>
      </c>
      <c r="E2" t="s">
        <v>12</v>
      </c>
      <c r="F2" t="s">
        <v>19</v>
      </c>
      <c r="G2" t="s">
        <v>23</v>
      </c>
      <c r="H2" s="1">
        <v>46289</v>
      </c>
      <c r="I2">
        <v>5</v>
      </c>
    </row>
    <row r="3" spans="1:9" x14ac:dyDescent="0.25">
      <c r="A3">
        <v>1</v>
      </c>
      <c r="B3" t="s">
        <v>2</v>
      </c>
      <c r="C3">
        <v>2</v>
      </c>
      <c r="D3" t="s">
        <v>4</v>
      </c>
      <c r="E3" t="s">
        <v>13</v>
      </c>
      <c r="F3" t="s">
        <v>20</v>
      </c>
      <c r="G3" t="s">
        <v>23</v>
      </c>
      <c r="H3" s="1">
        <v>46290</v>
      </c>
      <c r="I3">
        <v>10</v>
      </c>
    </row>
    <row r="4" spans="1:9" x14ac:dyDescent="0.25">
      <c r="A4">
        <v>1</v>
      </c>
      <c r="B4" t="s">
        <v>2</v>
      </c>
      <c r="C4">
        <v>3</v>
      </c>
      <c r="D4" t="s">
        <v>5</v>
      </c>
      <c r="E4" t="s">
        <v>14</v>
      </c>
      <c r="F4" t="s">
        <v>21</v>
      </c>
      <c r="G4" t="s">
        <v>23</v>
      </c>
      <c r="H4" s="1">
        <v>46291</v>
      </c>
      <c r="I4">
        <v>15</v>
      </c>
    </row>
    <row r="5" spans="1:9" x14ac:dyDescent="0.25">
      <c r="A5">
        <v>1</v>
      </c>
      <c r="B5" t="s">
        <v>2</v>
      </c>
      <c r="C5">
        <v>4</v>
      </c>
      <c r="D5" t="s">
        <v>6</v>
      </c>
      <c r="E5" t="s">
        <v>15</v>
      </c>
      <c r="F5" t="s">
        <v>22</v>
      </c>
      <c r="G5" t="s">
        <v>23</v>
      </c>
      <c r="H5" s="1">
        <v>46292</v>
      </c>
      <c r="I5">
        <v>20</v>
      </c>
    </row>
    <row r="6" spans="1:9" x14ac:dyDescent="0.25">
      <c r="A6">
        <v>1</v>
      </c>
      <c r="B6" t="s">
        <v>2</v>
      </c>
      <c r="C6">
        <v>5</v>
      </c>
      <c r="D6" t="s">
        <v>7</v>
      </c>
      <c r="E6" t="s">
        <v>16</v>
      </c>
      <c r="F6" t="s">
        <v>23</v>
      </c>
      <c r="G6" t="s">
        <v>23</v>
      </c>
      <c r="H6" s="1">
        <v>46293</v>
      </c>
      <c r="I6">
        <v>25</v>
      </c>
    </row>
    <row r="7" spans="1:9" x14ac:dyDescent="0.25">
      <c r="A7">
        <v>1</v>
      </c>
      <c r="B7" t="s">
        <v>2</v>
      </c>
      <c r="C7">
        <v>6</v>
      </c>
      <c r="D7" t="s">
        <v>8</v>
      </c>
      <c r="E7" t="s">
        <v>17</v>
      </c>
      <c r="F7" t="s">
        <v>24</v>
      </c>
      <c r="G7" t="s">
        <v>23</v>
      </c>
      <c r="H7" s="1">
        <v>46294</v>
      </c>
      <c r="I7">
        <v>30</v>
      </c>
    </row>
    <row r="8" spans="1:9" x14ac:dyDescent="0.25">
      <c r="A8">
        <v>1</v>
      </c>
      <c r="B8" t="s">
        <v>2</v>
      </c>
      <c r="C8">
        <v>7</v>
      </c>
      <c r="D8" t="s">
        <v>9</v>
      </c>
      <c r="E8" t="s">
        <v>18</v>
      </c>
      <c r="F8" t="s">
        <v>25</v>
      </c>
      <c r="G8" t="s">
        <v>23</v>
      </c>
      <c r="H8" s="1">
        <v>46295</v>
      </c>
      <c r="I8">
        <v>35</v>
      </c>
    </row>
    <row r="9" spans="1:9" x14ac:dyDescent="0.25">
      <c r="A9">
        <v>1</v>
      </c>
      <c r="B9" t="s">
        <v>2</v>
      </c>
      <c r="C9">
        <v>8</v>
      </c>
      <c r="D9" t="s">
        <v>10</v>
      </c>
      <c r="E9" t="s">
        <v>12</v>
      </c>
      <c r="F9" t="s">
        <v>19</v>
      </c>
      <c r="G9" t="s">
        <v>23</v>
      </c>
      <c r="H9" s="1">
        <v>46296</v>
      </c>
      <c r="I9">
        <v>40</v>
      </c>
    </row>
    <row r="10" spans="1:9" x14ac:dyDescent="0.25">
      <c r="A10">
        <v>1</v>
      </c>
      <c r="B10" t="s">
        <v>2</v>
      </c>
      <c r="C10">
        <v>9</v>
      </c>
      <c r="D10" t="s">
        <v>11</v>
      </c>
      <c r="E10" t="s">
        <v>13</v>
      </c>
      <c r="F10" t="s">
        <v>20</v>
      </c>
      <c r="G10" t="s">
        <v>23</v>
      </c>
      <c r="H10" s="1">
        <v>46297</v>
      </c>
      <c r="I10">
        <v>45</v>
      </c>
    </row>
  </sheetData>
  <phoneticPr fontId="2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="196" zoomScaleNormal="196" workbookViewId="0">
      <selection activeCell="A9" sqref="A9"/>
    </sheetView>
  </sheetViews>
  <sheetFormatPr defaultRowHeight="15" x14ac:dyDescent="0.25"/>
  <cols>
    <col min="1" max="1" width="11.85546875" bestFit="1" customWidth="1"/>
    <col min="6" max="6" width="15.5703125" bestFit="1" customWidth="1"/>
  </cols>
  <sheetData>
    <row r="1" spans="1:6" x14ac:dyDescent="0.25">
      <c r="A1" t="s">
        <v>26</v>
      </c>
    </row>
    <row r="3" spans="1:6" ht="26.25" x14ac:dyDescent="0.4">
      <c r="A3" s="2" t="s">
        <v>27</v>
      </c>
    </row>
    <row r="5" spans="1:6" ht="30" x14ac:dyDescent="0.25">
      <c r="A5" s="3" t="s">
        <v>28</v>
      </c>
    </row>
    <row r="7" spans="1:6" x14ac:dyDescent="0.25">
      <c r="A7" s="5">
        <v>100</v>
      </c>
      <c r="B7" s="4">
        <v>20</v>
      </c>
      <c r="C7">
        <v>7.0000000000000001E-3</v>
      </c>
      <c r="D7" s="6">
        <v>0.5</v>
      </c>
      <c r="E7" s="6">
        <v>0.25</v>
      </c>
      <c r="F7" s="7">
        <v>1000000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Úvod</vt:lpstr>
      <vt:lpstr>prostředí</vt:lpstr>
      <vt:lpstr>vzorce</vt:lpstr>
      <vt:lpstr>Řady</vt:lpstr>
      <vt:lpstr>Formát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Krankusová</dc:creator>
  <cp:lastModifiedBy>Martin Šrámek</cp:lastModifiedBy>
  <dcterms:created xsi:type="dcterms:W3CDTF">2026-09-24T07:22:22Z</dcterms:created>
  <dcterms:modified xsi:type="dcterms:W3CDTF">2026-10-13T07:44:01Z</dcterms:modified>
</cp:coreProperties>
</file>
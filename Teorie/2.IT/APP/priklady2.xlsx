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msd-my.sharepoint.com/personal/it-martinsramek_stredniskola_com/Documents/Plocha/SCMSD-IT-Martin-Sramek/Teorie/2.IT/APP/"/>
    </mc:Choice>
  </mc:AlternateContent>
  <xr:revisionPtr revIDLastSave="3" documentId="8_{8ED9CBBE-1119-4086-946F-6C20AD2A6799}" xr6:coauthVersionLast="47" xr6:coauthVersionMax="47" xr10:uidLastSave="{F637661B-FE14-4474-881E-152FE5ED5B1C}"/>
  <bookViews>
    <workbookView xWindow="-120" yWindow="-120" windowWidth="29040" windowHeight="15720" xr2:uid="{20559485-F7A8-4FCE-AB9F-1D31D03CCF09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G3" i="1"/>
  <c r="G4" i="1"/>
  <c r="G5" i="1"/>
  <c r="G6" i="1"/>
  <c r="G7" i="1"/>
  <c r="G8" i="1"/>
  <c r="G9" i="1"/>
  <c r="G10" i="1"/>
  <c r="G11" i="1"/>
  <c r="G2" i="1"/>
  <c r="H3" i="1"/>
  <c r="H4" i="1"/>
  <c r="H5" i="1"/>
  <c r="H6" i="1"/>
  <c r="H7" i="1"/>
  <c r="H8" i="1"/>
  <c r="H9" i="1"/>
  <c r="H10" i="1"/>
  <c r="H11" i="1"/>
  <c r="H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<sst xmlns="http://schemas.openxmlformats.org/spreadsheetml/2006/main" count="19" uniqueCount="19">
  <si>
    <t>název zboží</t>
  </si>
  <si>
    <t>počet KS</t>
  </si>
  <si>
    <t>cena nakupu ks</t>
  </si>
  <si>
    <t>cena prodeje</t>
  </si>
  <si>
    <t>cena nakupu celkem</t>
  </si>
  <si>
    <t>cena prodeje celkem</t>
  </si>
  <si>
    <t>zisk ks</t>
  </si>
  <si>
    <t>zisk celkem</t>
  </si>
  <si>
    <t>marve v %</t>
  </si>
  <si>
    <t>A4</t>
  </si>
  <si>
    <t>A5</t>
  </si>
  <si>
    <t>tuzka obycejna</t>
  </si>
  <si>
    <t>tuzka propisovaci</t>
  </si>
  <si>
    <t>guma</t>
  </si>
  <si>
    <t>kancl papir 500ks</t>
  </si>
  <si>
    <t>pravitko</t>
  </si>
  <si>
    <t>pero inkoustove</t>
  </si>
  <si>
    <t>zapisnik sesitovy</t>
  </si>
  <si>
    <t>krouzkovy blok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</si>
</sst>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č&quot;_-;\-* #,##0.00\ &quot;Kč&quot;_-;_-* &quot;-&quot;??\ &quot;Kč&quot;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44" fontId="0" fillId="0" borderId="1" xfId="1" applyFont="1" applyBorder="1"/>
    <xf numFmtId="44" fontId="0" fillId="2" borderId="1" xfId="0" applyNumberFormat="1" applyFill="1" applyBorder="1"/>
    <xf numFmtId="10" fontId="0" fillId="2" borderId="1" xfId="2" applyNumberFormat="1" applyFont="1" applyFill="1" applyBorder="1"/>
    <xf numFmtId="0" fontId="2" fillId="3" borderId="1" xfId="0" applyFont="1" applyFill="1" applyBorder="1"/>
  </cellXfs>
  <cellStyles count="3">
    <cellStyle name="Měna" xfId="1" builtinId="4"/>
    <cellStyle name="Normální" xfId="0" builtinId="0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4D0A-075F-46D0-8BA4-FA4F1E164DEE}">
  <dimension ref="A1:I11"/>
  <sheetViews>
    <sheetView tabSelected="1" workbookViewId="0">
      <selection activeCell="I2" sqref="I2"/>
    </sheetView>
  </sheetViews>
  <sheetFormatPr defaultRowHeight="15" x14ac:dyDescent="0.25"/>
  <cols>
    <col min="1" max="1" width="16.7109375" bestFit="1" customWidth="1"/>
    <col min="2" max="2" width="8.42578125" bestFit="1" customWidth="1"/>
    <col min="3" max="3" width="15" bestFit="1" customWidth="1"/>
    <col min="4" max="4" width="12.42578125" bestFit="1" customWidth="1"/>
    <col min="5" max="6" width="19.42578125" bestFit="1" customWidth="1"/>
    <col min="7" max="7" width="9.5703125" bestFit="1" customWidth="1"/>
    <col min="8" max="8" width="11.140625" bestFit="1" customWidth="1"/>
    <col min="9" max="9" width="9.710937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1" t="s">
        <v>9</v>
      </c>
      <c r="B2" s="1">
        <v>21</v>
      </c>
      <c r="C2" s="2">
        <v>10</v>
      </c>
      <c r="D2" s="2">
        <v>12</v>
      </c>
      <c r="E2" s="3">
        <f>B2*C2</f>
        <v>210</v>
      </c>
      <c r="F2" s="3">
        <f>B2*D2</f>
        <v>252</v>
      </c>
      <c r="G2" s="3">
        <f>D2-C2</f>
        <v>2</v>
      </c>
      <c r="H2" s="3">
        <f>F2-E2</f>
        <v>42</v>
      </c>
      <c r="I2" s="4">
        <f>(D2/C2)-100%</f>
        <v>0.19999999999999996</v>
      </c>
    </row>
    <row r="3" spans="1:9" x14ac:dyDescent="0.25">
      <c r="A3" s="1" t="s">
        <v>10</v>
      </c>
      <c r="B3" s="1">
        <v>65</v>
      </c>
      <c r="C3" s="2">
        <v>8.6</v>
      </c>
      <c r="D3" s="2">
        <v>9.5</v>
      </c>
      <c r="E3" s="3">
        <f t="shared" ref="E3:E11" si="0">B3*C3</f>
        <v>559</v>
      </c>
      <c r="F3" s="3">
        <f t="shared" ref="F3:F11" si="1">B3*D3</f>
        <v>617.5</v>
      </c>
      <c r="G3" s="3">
        <f t="shared" ref="G3:G11" si="2">D3-C3</f>
        <v>0.90000000000000036</v>
      </c>
      <c r="H3" s="3">
        <f>F3-E3</f>
        <v>58.5</v>
      </c>
      <c r="I3" s="4">
        <f t="shared" ref="I3:I11" si="3">(D3/C3)-100%</f>
        <v>0.10465116279069764</v>
      </c>
    </row>
    <row r="4" spans="1:9" x14ac:dyDescent="0.25">
      <c r="A4" s="1" t="s">
        <v>11</v>
      </c>
      <c r="B4" s="1">
        <v>47</v>
      </c>
      <c r="C4" s="2">
        <v>2.9</v>
      </c>
      <c r="D4" s="2">
        <v>3.6</v>
      </c>
      <c r="E4" s="3">
        <f t="shared" si="0"/>
        <v>136.29999999999998</v>
      </c>
      <c r="F4" s="3">
        <f t="shared" si="1"/>
        <v>169.20000000000002</v>
      </c>
      <c r="G4" s="3">
        <f t="shared" si="2"/>
        <v>0.70000000000000018</v>
      </c>
      <c r="H4" s="3">
        <f>F4-E4</f>
        <v>32.900000000000034</v>
      </c>
      <c r="I4" s="4">
        <f t="shared" si="3"/>
        <v>0.24137931034482762</v>
      </c>
    </row>
    <row r="5" spans="1:9" x14ac:dyDescent="0.25">
      <c r="A5" s="1" t="s">
        <v>12</v>
      </c>
      <c r="B5" s="1">
        <v>10</v>
      </c>
      <c r="C5" s="2">
        <v>9.5</v>
      </c>
      <c r="D5" s="2">
        <v>11</v>
      </c>
      <c r="E5" s="3">
        <f t="shared" si="0"/>
        <v>95</v>
      </c>
      <c r="F5" s="3">
        <f t="shared" si="1"/>
        <v>110</v>
      </c>
      <c r="G5" s="3">
        <f t="shared" si="2"/>
        <v>1.5</v>
      </c>
      <c r="H5" s="3">
        <f>F5-E5</f>
        <v>15</v>
      </c>
      <c r="I5" s="4">
        <f t="shared" si="3"/>
        <v>0.15789473684210531</v>
      </c>
    </row>
    <row r="6" spans="1:9" x14ac:dyDescent="0.25">
      <c r="A6" s="1" t="s">
        <v>13</v>
      </c>
      <c r="B6" s="1">
        <v>30</v>
      </c>
      <c r="C6" s="2">
        <v>4.2</v>
      </c>
      <c r="D6" s="2">
        <v>6.5</v>
      </c>
      <c r="E6" s="3">
        <f t="shared" si="0"/>
        <v>126</v>
      </c>
      <c r="F6" s="3">
        <f t="shared" si="1"/>
        <v>195</v>
      </c>
      <c r="G6" s="3">
        <f t="shared" si="2"/>
        <v>2.2999999999999998</v>
      </c>
      <c r="H6" s="3">
        <f>F6-E6</f>
        <v>69</v>
      </c>
      <c r="I6" s="4">
        <f t="shared" si="3"/>
        <v>0.54761904761904745</v>
      </c>
    </row>
    <row r="7" spans="1:9" x14ac:dyDescent="0.25">
      <c r="A7" s="1" t="s">
        <v>14</v>
      </c>
      <c r="B7" s="1">
        <v>28</v>
      </c>
      <c r="C7" s="2">
        <v>89</v>
      </c>
      <c r="D7" s="2">
        <v>92</v>
      </c>
      <c r="E7" s="3">
        <f t="shared" si="0"/>
        <v>2492</v>
      </c>
      <c r="F7" s="3">
        <f t="shared" si="1"/>
        <v>2576</v>
      </c>
      <c r="G7" s="3">
        <f t="shared" si="2"/>
        <v>3</v>
      </c>
      <c r="H7" s="3">
        <f>F7-E7</f>
        <v>84</v>
      </c>
      <c r="I7" s="4">
        <f t="shared" si="3"/>
        <v>3.3707865168539408E-2</v>
      </c>
    </row>
    <row r="8" spans="1:9" x14ac:dyDescent="0.25">
      <c r="A8" s="1" t="s">
        <v>15</v>
      </c>
      <c r="B8" s="1">
        <v>27</v>
      </c>
      <c r="C8" s="2">
        <v>19.600000000000001</v>
      </c>
      <c r="D8" s="2">
        <v>23</v>
      </c>
      <c r="E8" s="3">
        <f t="shared" si="0"/>
        <v>529.20000000000005</v>
      </c>
      <c r="F8" s="3">
        <f t="shared" si="1"/>
        <v>621</v>
      </c>
      <c r="G8" s="3">
        <f t="shared" si="2"/>
        <v>3.3999999999999986</v>
      </c>
      <c r="H8" s="3">
        <f>F8-E8</f>
        <v>91.799999999999955</v>
      </c>
      <c r="I8" s="4">
        <f t="shared" si="3"/>
        <v>0.1734693877551019</v>
      </c>
    </row>
    <row r="9" spans="1:9" x14ac:dyDescent="0.25">
      <c r="A9" s="1" t="s">
        <v>16</v>
      </c>
      <c r="B9" s="1">
        <v>9</v>
      </c>
      <c r="C9" s="2">
        <v>54.7</v>
      </c>
      <c r="D9" s="2">
        <v>59</v>
      </c>
      <c r="E9" s="3">
        <f t="shared" si="0"/>
        <v>492.3</v>
      </c>
      <c r="F9" s="3">
        <f t="shared" si="1"/>
        <v>531</v>
      </c>
      <c r="G9" s="3">
        <f t="shared" si="2"/>
        <v>4.2999999999999972</v>
      </c>
      <c r="H9" s="3">
        <f>F9-E9</f>
        <v>38.699999999999989</v>
      </c>
      <c r="I9" s="4">
        <f t="shared" si="3"/>
        <v>7.8610603290676373E-2</v>
      </c>
    </row>
    <row r="10" spans="1:9" x14ac:dyDescent="0.25">
      <c r="A10" s="1" t="s">
        <v>17</v>
      </c>
      <c r="B10" s="1">
        <v>49</v>
      </c>
      <c r="C10" s="2">
        <v>7.9</v>
      </c>
      <c r="D10" s="2">
        <v>8.9</v>
      </c>
      <c r="E10" s="3">
        <f t="shared" si="0"/>
        <v>387.1</v>
      </c>
      <c r="F10" s="3">
        <f t="shared" si="1"/>
        <v>436.1</v>
      </c>
      <c r="G10" s="3">
        <f t="shared" si="2"/>
        <v>1</v>
      </c>
      <c r="H10" s="3">
        <f>F10-E10</f>
        <v>49</v>
      </c>
      <c r="I10" s="4">
        <f t="shared" si="3"/>
        <v>0.12658227848101267</v>
      </c>
    </row>
    <row r="11" spans="1:9" x14ac:dyDescent="0.25">
      <c r="A11" s="1" t="s">
        <v>18</v>
      </c>
      <c r="B11" s="1">
        <v>19</v>
      </c>
      <c r="C11" s="2">
        <v>69.5</v>
      </c>
      <c r="D11" s="2">
        <v>74.599999999999994</v>
      </c>
      <c r="E11" s="3">
        <f t="shared" si="0"/>
        <v>1320.5</v>
      </c>
      <c r="F11" s="3">
        <f t="shared" si="1"/>
        <v>1417.3999999999999</v>
      </c>
      <c r="G11" s="3">
        <f t="shared" si="2"/>
        <v>5.0999999999999943</v>
      </c>
      <c r="H11" s="3">
        <f>F11-E11</f>
        <v>96.899999999999864</v>
      </c>
      <c r="I11" s="4">
        <f t="shared" si="3"/>
        <v>7.3381294964028676E-2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Šrámek</dc:creator>
  <cp:lastModifiedBy>Martin Šrámek</cp:lastModifiedBy>
  <dcterms:created xsi:type="dcterms:W3CDTF">2026-10-13T07:45:56Z</dcterms:created>
  <dcterms:modified xsi:type="dcterms:W3CDTF">2026-10-13T08:02:02Z</dcterms:modified>
</cp:coreProperties>
</file>